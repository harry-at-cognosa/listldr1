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P:\21_Kathy Landy\Sales Quote Templates\PRICE UPDATE_11 2025\Mills\FCA Muttenz\UBM_FCA Muttenz_11 2025\"/>
    </mc:Choice>
  </mc:AlternateContent>
  <xr:revisionPtr revIDLastSave="0" documentId="13_ncr:1_{B6DE92CE-AC4A-4540-8FA3-3E49077C746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G32" i="1"/>
  <c r="G30" i="1"/>
  <c r="G29" i="1"/>
  <c r="G27" i="1"/>
  <c r="G25" i="1"/>
  <c r="G24" i="1"/>
  <c r="G23" i="1"/>
  <c r="G21" i="1"/>
  <c r="G20" i="1"/>
  <c r="F9" i="1"/>
  <c r="F8" i="1"/>
  <c r="G19" i="1"/>
  <c r="F7" i="1"/>
  <c r="F37" i="1"/>
  <c r="F32" i="1"/>
  <c r="F30" i="1"/>
  <c r="F29" i="1"/>
  <c r="F27" i="1"/>
  <c r="F25" i="1"/>
  <c r="F24" i="1"/>
  <c r="F23" i="1"/>
  <c r="F21" i="1"/>
  <c r="F20" i="1"/>
  <c r="F19" i="1"/>
  <c r="F12" i="1" l="1"/>
  <c r="F10" i="1" l="1"/>
  <c r="F13" i="1" s="1"/>
</calcChain>
</file>

<file path=xl/sharedStrings.xml><?xml version="1.0" encoding="utf-8"?>
<sst xmlns="http://schemas.openxmlformats.org/spreadsheetml/2006/main" count="65" uniqueCount="38">
  <si>
    <t>CHF</t>
  </si>
  <si>
    <r>
      <t>Price for 1 DYNO</t>
    </r>
    <r>
      <rPr>
        <b/>
        <vertAlign val="superscript"/>
        <sz val="11"/>
        <color rgb="FF000000"/>
        <rFont val="Symbol"/>
        <family val="1"/>
        <charset val="2"/>
      </rPr>
      <t>Ò</t>
    </r>
    <r>
      <rPr>
        <b/>
        <sz val="11"/>
        <color rgb="FF000000"/>
        <rFont val="Arial"/>
        <family val="2"/>
      </rPr>
      <t>-MILL UBM 20</t>
    </r>
  </si>
  <si>
    <t>Packing, incl. wooden case</t>
  </si>
  <si>
    <t>USD</t>
  </si>
  <si>
    <t>Spare and Replacement Parts</t>
  </si>
  <si>
    <t>WAB cylindrical slot screen 0.07 mm, stainless steel, PVD-coated (art. 252159)</t>
  </si>
  <si>
    <t>WAB cylindrical slot screen 0.13 mm, stainless steel, PVD-coated (art. 250918)</t>
  </si>
  <si>
    <t>WAB cylindrical slot screen 0.25 mm, stainless steel, PVD-coated (art. 250916) (price included in chapter 3 – Machine Execution)</t>
  </si>
  <si>
    <t>WAB cylindrical slot screen 0.40 mm, stainless steel, PVD-coated (art. 250914)</t>
  </si>
  <si>
    <t>WAB cylindrical slot screen 0.60 mm, stainless steel, PVD-coated (art. 250907)</t>
  </si>
  <si>
    <t xml:space="preserve">Ball check valve DN 1½" with flange connection, mounted on the pump outlet </t>
  </si>
  <si>
    <r>
      <t xml:space="preserve">Drain cock with screen </t>
    </r>
    <r>
      <rPr>
        <sz val="11"/>
        <color rgb="FFFF0000"/>
        <rFont val="Arial"/>
        <family val="2"/>
      </rPr>
      <t xml:space="preserve">0.07, 0.13, 0.25 or 0.40 </t>
    </r>
    <r>
      <rPr>
        <sz val="11"/>
        <color theme="1"/>
        <rFont val="Arial"/>
        <family val="2"/>
      </rPr>
      <t>mm of stainless steel mounted in the front cover instead of drain plug</t>
    </r>
  </si>
  <si>
    <t>Extra charge</t>
  </si>
  <si>
    <t>Set of torque wrenches (art. 241106)</t>
  </si>
  <si>
    <r>
      <t xml:space="preserve">Grinding cylinder made of </t>
    </r>
    <r>
      <rPr>
        <b/>
        <sz val="11"/>
        <color theme="1"/>
        <rFont val="Arial"/>
        <family val="2"/>
      </rPr>
      <t>silicon carbide</t>
    </r>
    <r>
      <rPr>
        <sz val="11"/>
        <color theme="1"/>
        <rFont val="Arial"/>
        <family val="2"/>
      </rPr>
      <t xml:space="preserve"> instead of hardened stainless steel</t>
    </r>
  </si>
  <si>
    <t>O-rings (static seals) for all product contacted parts made of Perfluor/FEP-O-Seal instead of standard Viton/FEP-O-Seal</t>
  </si>
  <si>
    <t>Gear pump for throughputs up to 2500 l/h</t>
  </si>
  <si>
    <t>Price Product Pump</t>
  </si>
  <si>
    <t>(1.3 x 2.18)</t>
  </si>
  <si>
    <t>Qualification documents</t>
  </si>
  <si>
    <t>IQ/OQ</t>
  </si>
  <si>
    <t>FAT w/realization by WAB</t>
  </si>
  <si>
    <t>SAT w/o realization by WAB</t>
  </si>
  <si>
    <t>FDS</t>
  </si>
  <si>
    <t>DQ</t>
  </si>
  <si>
    <t>Transportation from Switzerland</t>
  </si>
  <si>
    <t xml:space="preserve"> 'True' Spare/Wear</t>
  </si>
  <si>
    <t xml:space="preserve">Spare as part of core machine </t>
  </si>
  <si>
    <t>TOTAL PRICE, FCA Muttenz, packed (*)</t>
  </si>
  <si>
    <t>(*) Sales tax may apply, please provide tax exempt certificate if applicable</t>
  </si>
  <si>
    <r>
      <t xml:space="preserve">UBM 20 FCFC </t>
    </r>
    <r>
      <rPr>
        <b/>
        <sz val="16"/>
        <color rgb="FFFF0000"/>
        <rFont val="Calibri"/>
        <family val="2"/>
        <scheme val="minor"/>
      </rPr>
      <t>*Updated 11/25/2025 based on communication from Dan Grskovic on 11/17/25 as a result of Trade agreement w/Switzerland</t>
    </r>
  </si>
  <si>
    <t>Pricing update to exchange rate for Machine, Parts (as whole unit/core machine), MSC &amp; Pumps (1.1 * 1.54)</t>
  </si>
  <si>
    <t>Pricing for spare and wear parts, etc.  = (1.3 x 2.18)</t>
  </si>
  <si>
    <t>Transportation needs to be added in as a separate line item</t>
  </si>
  <si>
    <r>
      <t>3 – Machine Execution -</t>
    </r>
    <r>
      <rPr>
        <sz val="11"/>
        <color rgb="FFFF0000"/>
        <rFont val="Arial"/>
        <family val="2"/>
      </rPr>
      <t xml:space="preserve"> (1.10 * 1.54)</t>
    </r>
  </si>
  <si>
    <r>
      <t xml:space="preserve">4 – Product Pump - </t>
    </r>
    <r>
      <rPr>
        <sz val="11"/>
        <color rgb="FFFF0000"/>
        <rFont val="Arial"/>
        <family val="2"/>
      </rPr>
      <t>(1.10 * 1.54)</t>
    </r>
  </si>
  <si>
    <r>
      <t xml:space="preserve">5 – Motor Starter Cabinet - </t>
    </r>
    <r>
      <rPr>
        <sz val="11"/>
        <color rgb="FFFF0000"/>
        <rFont val="Arial"/>
        <family val="2"/>
      </rPr>
      <t>(1.10 * 1.54)</t>
    </r>
  </si>
  <si>
    <t>(1.1 x 1.54)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</si>
</sst>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vertAlign val="superscript"/>
      <sz val="11"/>
      <color rgb="FF000000"/>
      <name val="Symbol"/>
      <family val="1"/>
      <charset val="2"/>
    </font>
    <font>
      <sz val="11"/>
      <color rgb="FFFF0000"/>
      <name val="Arial"/>
      <family val="2"/>
    </font>
    <font>
      <sz val="1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gray0625">
        <fgColor rgb="FF336699"/>
        <bgColor rgb="FFFBFCFC"/>
      </patternFill>
    </fill>
    <fill>
      <patternFill patternType="gray125">
        <fgColor rgb="FF0000FF"/>
        <bgColor rgb="FFF7F7FF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right" vertical="center" wrapText="1"/>
    </xf>
    <xf numFmtId="44" fontId="2" fillId="0" borderId="0" xfId="1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44" fontId="4" fillId="2" borderId="0" xfId="1" applyFont="1" applyFill="1" applyAlignment="1">
      <alignment horizontal="right" vertical="center" wrapText="1"/>
    </xf>
    <xf numFmtId="44" fontId="2" fillId="0" borderId="1" xfId="1" applyFont="1" applyBorder="1" applyAlignment="1">
      <alignment horizontal="right" vertical="center" wrapText="1"/>
    </xf>
    <xf numFmtId="44" fontId="4" fillId="3" borderId="0" xfId="1" applyFont="1" applyFill="1" applyAlignment="1">
      <alignment horizontal="right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4" fontId="11" fillId="0" borderId="0" xfId="0" applyNumberFormat="1" applyFont="1"/>
    <xf numFmtId="0" fontId="12" fillId="0" borderId="0" xfId="0" applyFont="1"/>
    <xf numFmtId="0" fontId="4" fillId="0" borderId="0" xfId="0" applyFont="1" applyAlignment="1">
      <alignment vertical="center" wrapText="1"/>
    </xf>
    <xf numFmtId="44" fontId="4" fillId="0" borderId="0" xfId="1" applyFont="1" applyFill="1" applyAlignment="1">
      <alignment horizontal="right" vertical="center" wrapText="1"/>
    </xf>
    <xf numFmtId="0" fontId="13" fillId="0" borderId="0" xfId="0" quotePrefix="1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44" fontId="6" fillId="0" borderId="0" xfId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G37" sqref="G37"/>
    </sheetView>
  </sheetViews>
  <sheetFormatPr defaultRowHeight="15" x14ac:dyDescent="0.25"/>
  <cols>
    <col min="1" max="1" width="6.28515625" customWidth="1"/>
    <col min="2" max="2" width="45" customWidth="1"/>
    <col min="3" max="3" width="6.28515625" customWidth="1"/>
    <col min="4" max="4" width="16" customWidth="1"/>
    <col min="5" max="5" width="8.140625" customWidth="1"/>
    <col min="6" max="6" width="14.7109375" customWidth="1"/>
    <col min="7" max="7" width="20.5703125" customWidth="1"/>
    <col min="8" max="8" width="14.42578125" customWidth="1"/>
  </cols>
  <sheetData>
    <row r="1" spans="2:8" ht="21" x14ac:dyDescent="0.35">
      <c r="B1" s="19" t="s">
        <v>30</v>
      </c>
    </row>
    <row r="2" spans="2:8" ht="15.75" x14ac:dyDescent="0.25">
      <c r="B2" s="25" t="s">
        <v>31</v>
      </c>
    </row>
    <row r="3" spans="2:8" ht="15.75" x14ac:dyDescent="0.25">
      <c r="B3" s="25" t="s">
        <v>32</v>
      </c>
    </row>
    <row r="4" spans="2:8" ht="15.75" x14ac:dyDescent="0.25">
      <c r="B4" s="25" t="s">
        <v>33</v>
      </c>
    </row>
    <row r="5" spans="2:8" ht="21" x14ac:dyDescent="0.35">
      <c r="B5" s="19"/>
      <c r="F5" s="21"/>
    </row>
    <row r="6" spans="2:8" x14ac:dyDescent="0.25">
      <c r="B6" s="20"/>
      <c r="F6" s="10" t="s">
        <v>3</v>
      </c>
    </row>
    <row r="7" spans="2:8" ht="21.6" customHeight="1" x14ac:dyDescent="0.25">
      <c r="B7" s="1" t="s">
        <v>34</v>
      </c>
      <c r="C7" s="3" t="s">
        <v>0</v>
      </c>
      <c r="D7" s="3">
        <v>89750</v>
      </c>
      <c r="F7" s="9">
        <f>ROUND(D7*1.1*1.54,0)</f>
        <v>152037</v>
      </c>
    </row>
    <row r="8" spans="2:8" ht="21.6" customHeight="1" x14ac:dyDescent="0.25">
      <c r="B8" s="1" t="s">
        <v>35</v>
      </c>
      <c r="C8" s="3" t="s">
        <v>0</v>
      </c>
      <c r="D8" s="3">
        <v>8560</v>
      </c>
      <c r="F8" s="9">
        <f t="shared" ref="F8:F9" si="0">ROUND(D8*1.1*1.54,0)</f>
        <v>14501</v>
      </c>
    </row>
    <row r="9" spans="2:8" ht="21.6" customHeight="1" thickBot="1" x14ac:dyDescent="0.3">
      <c r="B9" s="1" t="s">
        <v>36</v>
      </c>
      <c r="C9" s="4" t="s">
        <v>0</v>
      </c>
      <c r="D9" s="4">
        <v>27260</v>
      </c>
      <c r="F9" s="12">
        <f t="shared" si="0"/>
        <v>46178</v>
      </c>
    </row>
    <row r="10" spans="2:8" ht="21.6" customHeight="1" x14ac:dyDescent="0.25">
      <c r="B10" s="5" t="s">
        <v>1</v>
      </c>
      <c r="C10" s="6" t="s">
        <v>0</v>
      </c>
      <c r="D10" s="6">
        <v>125570</v>
      </c>
      <c r="F10" s="11">
        <f>SUM(F7:F9)</f>
        <v>212716</v>
      </c>
    </row>
    <row r="11" spans="2:8" ht="21.6" customHeight="1" x14ac:dyDescent="0.25">
      <c r="B11" s="26" t="s">
        <v>25</v>
      </c>
      <c r="C11" s="17" t="s">
        <v>0</v>
      </c>
      <c r="D11" s="17"/>
      <c r="F11" s="27"/>
    </row>
    <row r="12" spans="2:8" ht="21.6" customHeight="1" thickBot="1" x14ac:dyDescent="0.3">
      <c r="B12" s="1" t="s">
        <v>2</v>
      </c>
      <c r="C12" s="4" t="s">
        <v>0</v>
      </c>
      <c r="D12" s="4">
        <v>1650</v>
      </c>
      <c r="F12" s="12">
        <f>ROUND(D12*1.3,0)</f>
        <v>2145</v>
      </c>
    </row>
    <row r="13" spans="2:8" ht="21.6" customHeight="1" x14ac:dyDescent="0.25">
      <c r="B13" s="7" t="s">
        <v>28</v>
      </c>
      <c r="C13" s="8" t="s">
        <v>0</v>
      </c>
      <c r="D13" s="8">
        <v>127220</v>
      </c>
      <c r="F13" s="13">
        <f>SUM(F10:F12)</f>
        <v>214861</v>
      </c>
    </row>
    <row r="14" spans="2:8" x14ac:dyDescent="0.25">
      <c r="B14" t="s">
        <v>29</v>
      </c>
    </row>
    <row r="15" spans="2:8" ht="30" x14ac:dyDescent="0.25">
      <c r="F15" s="28" t="s">
        <v>26</v>
      </c>
      <c r="G15" s="29" t="s">
        <v>27</v>
      </c>
    </row>
    <row r="16" spans="2:8" x14ac:dyDescent="0.25">
      <c r="F16" s="10" t="s">
        <v>3</v>
      </c>
      <c r="G16" s="30" t="s">
        <v>3</v>
      </c>
      <c r="H16" s="10"/>
    </row>
    <row r="17" spans="1:8" x14ac:dyDescent="0.25">
      <c r="A17" s="14">
        <v>9.1</v>
      </c>
      <c r="B17" s="14" t="s">
        <v>4</v>
      </c>
      <c r="F17" s="22" t="s">
        <v>18</v>
      </c>
      <c r="G17" s="22" t="s">
        <v>37</v>
      </c>
    </row>
    <row r="18" spans="1:8" x14ac:dyDescent="0.25">
      <c r="A18" s="15"/>
    </row>
    <row r="19" spans="1:8" ht="28.5" x14ac:dyDescent="0.25">
      <c r="A19" s="1">
        <v>1</v>
      </c>
      <c r="B19" s="1" t="s">
        <v>5</v>
      </c>
      <c r="C19" s="3" t="s">
        <v>0</v>
      </c>
      <c r="D19" s="3">
        <v>2740</v>
      </c>
      <c r="F19" s="9">
        <f>ROUND(D19*1.3*2.18,0)</f>
        <v>7765</v>
      </c>
      <c r="G19" s="9">
        <f>ROUND(D19*1.1*1.54,0)</f>
        <v>4642</v>
      </c>
      <c r="H19" s="9"/>
    </row>
    <row r="20" spans="1:8" ht="28.5" x14ac:dyDescent="0.25">
      <c r="A20" s="1">
        <v>1</v>
      </c>
      <c r="B20" s="1" t="s">
        <v>6</v>
      </c>
      <c r="C20" s="3" t="s">
        <v>0</v>
      </c>
      <c r="D20" s="3">
        <v>2740</v>
      </c>
      <c r="F20" s="9">
        <f t="shared" ref="F20:F37" si="1">ROUND(D20*1.3*2.18,0)</f>
        <v>7765</v>
      </c>
      <c r="G20" s="9">
        <f t="shared" ref="G20:G32" si="2">ROUND(D20*1.1*1.54,0)</f>
        <v>4642</v>
      </c>
      <c r="H20" s="9"/>
    </row>
    <row r="21" spans="1:8" ht="41.45" customHeight="1" x14ac:dyDescent="0.25">
      <c r="A21" s="32">
        <v>1</v>
      </c>
      <c r="B21" s="32" t="s">
        <v>7</v>
      </c>
      <c r="C21" s="2"/>
      <c r="D21" s="33">
        <v>2740</v>
      </c>
      <c r="F21" s="9">
        <f t="shared" si="1"/>
        <v>7765</v>
      </c>
      <c r="G21" s="9">
        <f t="shared" si="2"/>
        <v>4642</v>
      </c>
      <c r="H21" s="9"/>
    </row>
    <row r="22" spans="1:8" x14ac:dyDescent="0.25">
      <c r="A22" s="32"/>
      <c r="B22" s="32"/>
      <c r="C22" s="3" t="s">
        <v>0</v>
      </c>
      <c r="D22" s="33"/>
      <c r="F22" s="9"/>
      <c r="G22" s="9"/>
      <c r="H22" s="9"/>
    </row>
    <row r="23" spans="1:8" ht="28.5" x14ac:dyDescent="0.25">
      <c r="A23" s="1">
        <v>1</v>
      </c>
      <c r="B23" s="1" t="s">
        <v>8</v>
      </c>
      <c r="C23" s="3" t="s">
        <v>0</v>
      </c>
      <c r="D23" s="3">
        <v>2740</v>
      </c>
      <c r="F23" s="9">
        <f t="shared" si="1"/>
        <v>7765</v>
      </c>
      <c r="G23" s="9">
        <f t="shared" si="2"/>
        <v>4642</v>
      </c>
      <c r="H23" s="9"/>
    </row>
    <row r="24" spans="1:8" ht="28.5" x14ac:dyDescent="0.25">
      <c r="A24" s="1">
        <v>1</v>
      </c>
      <c r="B24" s="1" t="s">
        <v>9</v>
      </c>
      <c r="C24" s="3" t="s">
        <v>0</v>
      </c>
      <c r="D24" s="3">
        <v>2800</v>
      </c>
      <c r="F24" s="9">
        <f t="shared" si="1"/>
        <v>7935</v>
      </c>
      <c r="G24" s="9">
        <f t="shared" si="2"/>
        <v>4743</v>
      </c>
      <c r="H24" s="9"/>
    </row>
    <row r="25" spans="1:8" ht="15" customHeight="1" x14ac:dyDescent="0.25">
      <c r="A25" s="32">
        <v>1</v>
      </c>
      <c r="B25" s="32" t="s">
        <v>10</v>
      </c>
      <c r="C25" s="2"/>
      <c r="D25" s="33">
        <v>1890</v>
      </c>
      <c r="F25" s="9">
        <f t="shared" si="1"/>
        <v>5356</v>
      </c>
      <c r="G25" s="9">
        <f t="shared" si="2"/>
        <v>3202</v>
      </c>
      <c r="H25" s="9"/>
    </row>
    <row r="26" spans="1:8" x14ac:dyDescent="0.25">
      <c r="A26" s="32"/>
      <c r="B26" s="32"/>
      <c r="C26" s="3" t="s">
        <v>0</v>
      </c>
      <c r="D26" s="33"/>
      <c r="F26" s="9"/>
      <c r="G26" s="9"/>
      <c r="H26" s="9"/>
    </row>
    <row r="27" spans="1:8" ht="42.75" x14ac:dyDescent="0.25">
      <c r="A27" s="32">
        <v>1</v>
      </c>
      <c r="B27" s="1" t="s">
        <v>11</v>
      </c>
      <c r="C27" s="33" t="s">
        <v>0</v>
      </c>
      <c r="D27" s="33">
        <v>415</v>
      </c>
      <c r="F27" s="9">
        <f t="shared" si="1"/>
        <v>1176</v>
      </c>
      <c r="G27" s="9">
        <f t="shared" si="2"/>
        <v>703</v>
      </c>
      <c r="H27" s="9"/>
    </row>
    <row r="28" spans="1:8" x14ac:dyDescent="0.25">
      <c r="A28" s="32"/>
      <c r="B28" s="1" t="s">
        <v>12</v>
      </c>
      <c r="C28" s="33"/>
      <c r="D28" s="33"/>
      <c r="F28" s="9"/>
      <c r="G28" s="9"/>
      <c r="H28" s="9"/>
    </row>
    <row r="29" spans="1:8" x14ac:dyDescent="0.25">
      <c r="A29" s="1">
        <v>1</v>
      </c>
      <c r="B29" s="1" t="s">
        <v>13</v>
      </c>
      <c r="C29" s="3" t="s">
        <v>0</v>
      </c>
      <c r="D29" s="3">
        <v>1030</v>
      </c>
      <c r="F29" s="9">
        <f t="shared" si="1"/>
        <v>2919</v>
      </c>
      <c r="G29" s="9">
        <f t="shared" si="2"/>
        <v>1745</v>
      </c>
      <c r="H29" s="9"/>
    </row>
    <row r="30" spans="1:8" ht="29.25" x14ac:dyDescent="0.25">
      <c r="A30" s="32">
        <v>1</v>
      </c>
      <c r="B30" s="1" t="s">
        <v>14</v>
      </c>
      <c r="C30" s="33" t="s">
        <v>0</v>
      </c>
      <c r="D30" s="33">
        <v>12890</v>
      </c>
      <c r="F30" s="9">
        <f t="shared" si="1"/>
        <v>36530</v>
      </c>
      <c r="G30" s="9">
        <f t="shared" si="2"/>
        <v>21836</v>
      </c>
      <c r="H30" s="9"/>
    </row>
    <row r="31" spans="1:8" x14ac:dyDescent="0.25">
      <c r="A31" s="32"/>
      <c r="B31" s="1" t="s">
        <v>12</v>
      </c>
      <c r="C31" s="33"/>
      <c r="D31" s="33"/>
      <c r="F31" s="9"/>
      <c r="G31" s="9"/>
      <c r="H31" s="9"/>
    </row>
    <row r="32" spans="1:8" ht="42.75" x14ac:dyDescent="0.25">
      <c r="A32" s="32">
        <v>1</v>
      </c>
      <c r="B32" s="1" t="s">
        <v>15</v>
      </c>
      <c r="C32" s="2"/>
      <c r="D32" s="33">
        <v>2145</v>
      </c>
      <c r="F32" s="9">
        <f t="shared" si="1"/>
        <v>6079</v>
      </c>
      <c r="G32" s="9">
        <f t="shared" si="2"/>
        <v>3634</v>
      </c>
      <c r="H32" s="9"/>
    </row>
    <row r="33" spans="1:8" x14ac:dyDescent="0.25">
      <c r="A33" s="32"/>
      <c r="B33" s="1" t="s">
        <v>12</v>
      </c>
      <c r="C33" s="3" t="s">
        <v>0</v>
      </c>
      <c r="D33" s="33"/>
      <c r="F33" s="9"/>
      <c r="G33" s="9"/>
      <c r="H33" s="9"/>
    </row>
    <row r="34" spans="1:8" x14ac:dyDescent="0.25">
      <c r="A34" s="32"/>
      <c r="B34" s="16"/>
      <c r="D34" s="33"/>
      <c r="F34" s="9"/>
      <c r="G34" s="9"/>
      <c r="H34" s="9"/>
    </row>
    <row r="35" spans="1:8" x14ac:dyDescent="0.25">
      <c r="F35" s="9"/>
      <c r="G35" s="9"/>
      <c r="H35" s="9"/>
    </row>
    <row r="36" spans="1:8" x14ac:dyDescent="0.25">
      <c r="A36" s="1">
        <v>1</v>
      </c>
      <c r="B36" s="18" t="s">
        <v>16</v>
      </c>
      <c r="C36" s="1"/>
      <c r="D36" s="1"/>
      <c r="F36" s="9"/>
      <c r="G36" s="31" t="s">
        <v>37</v>
      </c>
      <c r="H36" s="9"/>
    </row>
    <row r="37" spans="1:8" x14ac:dyDescent="0.25">
      <c r="A37" s="34" t="s">
        <v>17</v>
      </c>
      <c r="B37" s="34"/>
      <c r="C37" s="17" t="s">
        <v>0</v>
      </c>
      <c r="D37" s="17">
        <v>9320</v>
      </c>
      <c r="F37" s="9">
        <f t="shared" si="1"/>
        <v>26413</v>
      </c>
      <c r="G37" s="9">
        <f>ROUND(D37*1.1*1.54,0)</f>
        <v>15788</v>
      </c>
      <c r="H37" s="9"/>
    </row>
    <row r="40" spans="1:8" ht="15.75" x14ac:dyDescent="0.25">
      <c r="B40" s="23" t="s">
        <v>19</v>
      </c>
      <c r="C40" s="23"/>
      <c r="D40" s="23"/>
    </row>
    <row r="41" spans="1:8" ht="15.75" x14ac:dyDescent="0.25">
      <c r="B41" s="23" t="s">
        <v>20</v>
      </c>
      <c r="C41" s="23" t="s">
        <v>3</v>
      </c>
      <c r="D41" s="24">
        <v>7930</v>
      </c>
    </row>
    <row r="42" spans="1:8" ht="15.75" x14ac:dyDescent="0.25">
      <c r="B42" s="23" t="s">
        <v>21</v>
      </c>
      <c r="C42" s="23" t="s">
        <v>3</v>
      </c>
      <c r="D42" s="24">
        <v>12560</v>
      </c>
    </row>
    <row r="43" spans="1:8" ht="15.75" x14ac:dyDescent="0.25">
      <c r="B43" s="23" t="s">
        <v>22</v>
      </c>
      <c r="C43" s="23" t="s">
        <v>3</v>
      </c>
      <c r="D43" s="24">
        <v>7130</v>
      </c>
    </row>
    <row r="44" spans="1:8" ht="15.75" x14ac:dyDescent="0.25">
      <c r="B44" s="23" t="s">
        <v>23</v>
      </c>
      <c r="C44" s="23" t="s">
        <v>3</v>
      </c>
      <c r="D44" s="24">
        <v>11680</v>
      </c>
    </row>
    <row r="45" spans="1:8" ht="15.75" x14ac:dyDescent="0.25">
      <c r="B45" s="23" t="s">
        <v>24</v>
      </c>
      <c r="C45" s="23" t="s">
        <v>3</v>
      </c>
      <c r="D45" s="24">
        <v>29940</v>
      </c>
    </row>
  </sheetData>
  <mergeCells count="15">
    <mergeCell ref="A21:A22"/>
    <mergeCell ref="B21:B22"/>
    <mergeCell ref="D21:D22"/>
    <mergeCell ref="A25:A26"/>
    <mergeCell ref="B25:B26"/>
    <mergeCell ref="D25:D26"/>
    <mergeCell ref="A32:A34"/>
    <mergeCell ref="D32:D34"/>
    <mergeCell ref="A37:B37"/>
    <mergeCell ref="A27:A28"/>
    <mergeCell ref="C27:C28"/>
    <mergeCell ref="D27:D28"/>
    <mergeCell ref="A30:A31"/>
    <mergeCell ref="C30:C31"/>
    <mergeCell ref="D30:D3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Aguirre Gab</dc:creator>
  <cp:lastModifiedBy>Landy Kathy</cp:lastModifiedBy>
  <cp:lastPrinted>2024-10-15T18:24:17Z</cp:lastPrinted>
  <dcterms:created xsi:type="dcterms:W3CDTF">2015-06-05T18:17:20Z</dcterms:created>
  <dcterms:modified xsi:type="dcterms:W3CDTF">2025-11-25T17:40:31Z</dcterms:modified>
</cp:coreProperties>
</file>