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P:\21_Kathy Landy\Sales Quote Templates\PRICE UPDATE_11 2025\Mills\FCA Muttenz\ECM_FCA Muttenz_11 2025\"/>
    </mc:Choice>
  </mc:AlternateContent>
  <xr:revisionPtr revIDLastSave="0" documentId="13_ncr:1_{29CEDF8A-9B30-4F53-9C9C-6E6BFC1D0E2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OLE_LINK2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1" l="1"/>
  <c r="G30" i="1"/>
  <c r="G28" i="1"/>
  <c r="G26" i="1"/>
  <c r="G24" i="1"/>
  <c r="G22" i="1"/>
  <c r="N11" i="1"/>
  <c r="N10" i="1"/>
  <c r="F11" i="1"/>
  <c r="F10" i="1"/>
  <c r="N9" i="1"/>
  <c r="F9" i="1"/>
  <c r="F32" i="1" l="1"/>
  <c r="F30" i="1"/>
  <c r="F28" i="1"/>
  <c r="F26" i="1"/>
  <c r="F24" i="1"/>
  <c r="F22" i="1"/>
  <c r="F14" i="1" l="1"/>
  <c r="F12" i="1" l="1"/>
  <c r="F15" i="1" s="1"/>
  <c r="N14" i="1" l="1"/>
  <c r="N12" i="1" l="1"/>
  <c r="N15" i="1" s="1"/>
</calcChain>
</file>

<file path=xl/sharedStrings.xml><?xml version="1.0" encoding="utf-8"?>
<sst xmlns="http://schemas.openxmlformats.org/spreadsheetml/2006/main" count="73" uniqueCount="39">
  <si>
    <t>CHF</t>
  </si>
  <si>
    <t>Packing, incl. wooden case</t>
  </si>
  <si>
    <t>USD</t>
  </si>
  <si>
    <t>Spare and Replacement Parts</t>
  </si>
  <si>
    <t>Cylinder screen 0.03 mm, pure nickel, hard chromium plated</t>
  </si>
  <si>
    <t>Cylinder screen 0.07 mm, pure nickel, hard chromium plated</t>
  </si>
  <si>
    <t>Cylinder screen 0.13 mm, pure nickel, hard chromium plated</t>
  </si>
  <si>
    <t>Cylinder screen 0.25 mm, pure nickel, hard chromium plated</t>
  </si>
  <si>
    <t>Cylinder screen 0.40 mm, pure nickel, hard chromium plated</t>
  </si>
  <si>
    <t>Machine Execution Silicon Carbide</t>
  </si>
  <si>
    <r>
      <t>Price for 1 DYNO</t>
    </r>
    <r>
      <rPr>
        <b/>
        <vertAlign val="superscript"/>
        <sz val="11"/>
        <color theme="1"/>
        <rFont val="Symbol"/>
        <family val="1"/>
        <charset val="2"/>
      </rPr>
      <t>Ò</t>
    </r>
    <r>
      <rPr>
        <b/>
        <sz val="11"/>
        <color theme="1"/>
        <rFont val="Arial"/>
        <family val="2"/>
      </rPr>
      <t>-MILL ECM-AP 05</t>
    </r>
  </si>
  <si>
    <t>(Art. 246550)</t>
  </si>
  <si>
    <t>(Art. 235210)</t>
  </si>
  <si>
    <t>(Art. 235212)</t>
  </si>
  <si>
    <t>(Art. 235214) (price included in chapter 3 – Machine Execution)</t>
  </si>
  <si>
    <t>(Art. 235216)</t>
  </si>
  <si>
    <t>Cooling water multi sensor for max. temperature and min. cooling water flow</t>
  </si>
  <si>
    <t>Machine Execution Zirconium Oxide</t>
  </si>
  <si>
    <r>
      <t>Price for 1 DYNO</t>
    </r>
    <r>
      <rPr>
        <b/>
        <vertAlign val="superscript"/>
        <sz val="11"/>
        <color rgb="FF000000"/>
        <rFont val="Symbol"/>
        <family val="1"/>
        <charset val="2"/>
      </rPr>
      <t>Ò</t>
    </r>
    <r>
      <rPr>
        <b/>
        <sz val="11"/>
        <color rgb="FF000000"/>
        <rFont val="Arial"/>
        <family val="2"/>
      </rPr>
      <t>-MILL ECM AP 2</t>
    </r>
  </si>
  <si>
    <t>(1.3 x 2.18)</t>
  </si>
  <si>
    <t>IQ/OQ</t>
  </si>
  <si>
    <t>FAT w/realization by WAB</t>
  </si>
  <si>
    <t>SAT w/o realization by WAB</t>
  </si>
  <si>
    <t>FDS</t>
  </si>
  <si>
    <t>DQ</t>
  </si>
  <si>
    <t>Qualification documents</t>
  </si>
  <si>
    <t>Transportation from Switzerland</t>
  </si>
  <si>
    <t xml:space="preserve"> 'True' Spare/Wear</t>
  </si>
  <si>
    <t>TOTAL PRICE, FCA Muttenz, packed (*)</t>
  </si>
  <si>
    <t>(*) Sales tax may apply, please provide tax exempt certificate if applicable</t>
  </si>
  <si>
    <r>
      <t xml:space="preserve">ECM AP 10 Ceramic MIT WAB VIEW  </t>
    </r>
    <r>
      <rPr>
        <b/>
        <sz val="16"/>
        <color rgb="FFFF0000"/>
        <rFont val="Calibri"/>
        <family val="2"/>
        <scheme val="minor"/>
      </rPr>
      <t xml:space="preserve"> *Updated 11/18/2025 based on communication from Dan Grskovic on 11/17/25 as a result of Trade agreement w/Switzerland</t>
    </r>
  </si>
  <si>
    <t>Pricing update to exchange rate for Machine, Parts (as whole unit/core machine), MSC &amp; Pumps (1.1 * 1.54)</t>
  </si>
  <si>
    <t>Pricing for spare and wear parts, etc.  = (1.3 x 2.18)</t>
  </si>
  <si>
    <t>Transportation needs to be added in as a separate line item</t>
  </si>
  <si>
    <r>
      <t xml:space="preserve">3 – Machine Execution - </t>
    </r>
    <r>
      <rPr>
        <sz val="11"/>
        <color rgb="FFFF0000"/>
        <rFont val="Arial"/>
        <family val="2"/>
      </rPr>
      <t>(1.1 * 1.54)</t>
    </r>
  </si>
  <si>
    <r>
      <t xml:space="preserve">4 – Product Pump - </t>
    </r>
    <r>
      <rPr>
        <sz val="11"/>
        <color rgb="FFFF0000"/>
        <rFont val="Arial"/>
        <family val="2"/>
      </rPr>
      <t>(1.1 * 1.54)</t>
    </r>
  </si>
  <si>
    <r>
      <t xml:space="preserve">5 – Motor Starter Cabinet - </t>
    </r>
    <r>
      <rPr>
        <sz val="11"/>
        <color rgb="FFFF0000"/>
        <rFont val="Arial"/>
        <family val="2"/>
      </rPr>
      <t>(1.1 * 1.54)</t>
    </r>
  </si>
  <si>
    <t>(1.1 x 1.54)</t>
  </si>
  <si>
    <t xml:space="preserve">As part of core machine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</si>
</sst>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name val="Arial"/>
      <family val="2"/>
    </font>
    <font>
      <b/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vertAlign val="superscript"/>
      <sz val="11"/>
      <color theme="1"/>
      <name val="Symbol"/>
      <family val="1"/>
      <charset val="2"/>
    </font>
    <font>
      <b/>
      <vertAlign val="superscript"/>
      <sz val="11"/>
      <color rgb="FF000000"/>
      <name val="Symbol"/>
      <family val="1"/>
      <charset val="2"/>
    </font>
    <font>
      <b/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FF0000"/>
      <name val="Arial"/>
      <family val="2"/>
    </font>
    <font>
      <b/>
      <sz val="1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gray0625">
        <fgColor rgb="FF336699"/>
        <bgColor rgb="FFFBFCFC"/>
      </patternFill>
    </fill>
    <fill>
      <patternFill patternType="gray125">
        <fgColor rgb="FF0000FF"/>
        <bgColor rgb="FFF7F7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4" fillId="2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right" vertical="center" wrapText="1"/>
    </xf>
    <xf numFmtId="44" fontId="2" fillId="0" borderId="0" xfId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44" fontId="4" fillId="2" borderId="0" xfId="1" applyFont="1" applyFill="1" applyAlignment="1">
      <alignment horizontal="right" vertical="center" wrapText="1"/>
    </xf>
    <xf numFmtId="44" fontId="2" fillId="0" borderId="1" xfId="1" applyFont="1" applyBorder="1" applyAlignment="1">
      <alignment horizontal="right" vertical="center" wrapText="1"/>
    </xf>
    <xf numFmtId="44" fontId="4" fillId="3" borderId="0" xfId="1" applyFont="1" applyFill="1" applyAlignment="1">
      <alignment horizontal="righ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right" vertical="center" wrapText="1"/>
    </xf>
    <xf numFmtId="0" fontId="5" fillId="0" borderId="0" xfId="0" applyFont="1" applyAlignment="1">
      <alignment vertical="center" wrapText="1"/>
    </xf>
    <xf numFmtId="44" fontId="5" fillId="0" borderId="0" xfId="1" applyFont="1" applyAlignment="1">
      <alignment horizontal="right" vertical="center" wrapText="1"/>
    </xf>
    <xf numFmtId="0" fontId="6" fillId="0" borderId="0" xfId="0" applyFont="1"/>
    <xf numFmtId="3" fontId="4" fillId="2" borderId="0" xfId="0" applyNumberFormat="1" applyFont="1" applyFill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1" xfId="0" applyNumberFormat="1" applyFont="1" applyBorder="1" applyAlignment="1">
      <alignment horizontal="right" vertical="center" wrapText="1"/>
    </xf>
    <xf numFmtId="4" fontId="4" fillId="3" borderId="0" xfId="0" applyNumberFormat="1" applyFont="1" applyFill="1" applyAlignment="1">
      <alignment horizontal="right" vertical="center" wrapText="1"/>
    </xf>
    <xf numFmtId="3" fontId="4" fillId="0" borderId="0" xfId="0" applyNumberFormat="1" applyFont="1" applyAlignment="1">
      <alignment horizontal="right" vertical="center" wrapText="1"/>
    </xf>
    <xf numFmtId="0" fontId="7" fillId="0" borderId="0" xfId="0" applyFont="1"/>
    <xf numFmtId="0" fontId="0" fillId="4" borderId="0" xfId="0" applyFill="1"/>
    <xf numFmtId="0" fontId="3" fillId="0" borderId="0" xfId="0" applyFon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right"/>
    </xf>
    <xf numFmtId="0" fontId="4" fillId="2" borderId="0" xfId="0" applyFont="1" applyFill="1" applyAlignment="1">
      <alignment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1" fillId="0" borderId="0" xfId="0" applyFont="1"/>
    <xf numFmtId="4" fontId="11" fillId="0" borderId="0" xfId="0" applyNumberFormat="1" applyFont="1"/>
    <xf numFmtId="0" fontId="12" fillId="0" borderId="0" xfId="0" applyFont="1"/>
    <xf numFmtId="0" fontId="14" fillId="0" borderId="0" xfId="0" applyFont="1"/>
    <xf numFmtId="44" fontId="4" fillId="0" borderId="0" xfId="1" applyFont="1" applyFill="1" applyAlignment="1">
      <alignment horizontal="right" vertical="center" wrapText="1"/>
    </xf>
    <xf numFmtId="0" fontId="13" fillId="0" borderId="0" xfId="0" quotePrefix="1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1"/>
  <sheetViews>
    <sheetView tabSelected="1" workbookViewId="0">
      <selection activeCell="N11" sqref="N11"/>
    </sheetView>
  </sheetViews>
  <sheetFormatPr defaultRowHeight="15" x14ac:dyDescent="0.25"/>
  <cols>
    <col min="1" max="1" width="6.28515625" customWidth="1"/>
    <col min="2" max="2" width="45" customWidth="1"/>
    <col min="3" max="3" width="6.28515625" customWidth="1"/>
    <col min="4" max="4" width="11.28515625" bestFit="1" customWidth="1"/>
    <col min="5" max="5" width="8.140625" customWidth="1"/>
    <col min="6" max="6" width="20.28515625" customWidth="1"/>
    <col min="7" max="7" width="19" customWidth="1"/>
    <col min="8" max="8" width="17.28515625" customWidth="1"/>
    <col min="10" max="10" width="42.7109375" customWidth="1"/>
    <col min="12" max="12" width="17.5703125" customWidth="1"/>
    <col min="14" max="14" width="17" customWidth="1"/>
    <col min="16" max="16" width="17.85546875" customWidth="1"/>
  </cols>
  <sheetData>
    <row r="1" spans="2:14" ht="21" x14ac:dyDescent="0.35">
      <c r="B1" s="18" t="s">
        <v>30</v>
      </c>
    </row>
    <row r="2" spans="2:14" ht="15.75" x14ac:dyDescent="0.25">
      <c r="B2" s="36" t="s">
        <v>31</v>
      </c>
    </row>
    <row r="3" spans="2:14" ht="15.75" x14ac:dyDescent="0.25">
      <c r="B3" s="36" t="s">
        <v>32</v>
      </c>
    </row>
    <row r="4" spans="2:14" ht="15.75" x14ac:dyDescent="0.25">
      <c r="B4" s="36" t="s">
        <v>33</v>
      </c>
    </row>
    <row r="5" spans="2:14" ht="18.75" x14ac:dyDescent="0.3">
      <c r="B5" s="35"/>
    </row>
    <row r="6" spans="2:14" x14ac:dyDescent="0.25">
      <c r="B6" s="30"/>
    </row>
    <row r="7" spans="2:14" ht="21" x14ac:dyDescent="0.35">
      <c r="B7" s="18" t="s">
        <v>17</v>
      </c>
      <c r="F7" s="31"/>
      <c r="J7" s="18" t="s">
        <v>9</v>
      </c>
      <c r="N7" s="31"/>
    </row>
    <row r="8" spans="2:14" x14ac:dyDescent="0.25">
      <c r="F8" s="9" t="s">
        <v>2</v>
      </c>
      <c r="N8" s="9" t="s">
        <v>2</v>
      </c>
    </row>
    <row r="9" spans="2:14" ht="21.6" customHeight="1" x14ac:dyDescent="0.25">
      <c r="B9" s="1" t="s">
        <v>34</v>
      </c>
      <c r="C9" s="3" t="s">
        <v>0</v>
      </c>
      <c r="D9" s="20">
        <v>238680</v>
      </c>
      <c r="F9" s="8">
        <f>ROUND(D9*1.1*1.54,0)</f>
        <v>404324</v>
      </c>
      <c r="J9" s="1" t="s">
        <v>34</v>
      </c>
      <c r="K9" s="3" t="s">
        <v>0</v>
      </c>
      <c r="L9" s="20">
        <v>204980</v>
      </c>
      <c r="N9" s="8">
        <f>ROUND(L9*1.1*1.54,0)</f>
        <v>347236</v>
      </c>
    </row>
    <row r="10" spans="2:14" ht="21.6" customHeight="1" x14ac:dyDescent="0.25">
      <c r="B10" s="1" t="s">
        <v>35</v>
      </c>
      <c r="C10" s="3" t="s">
        <v>0</v>
      </c>
      <c r="D10" s="20">
        <v>11066</v>
      </c>
      <c r="F10" s="8">
        <f t="shared" ref="F10:F11" si="0">ROUND(D10*1.1*1.54,0)</f>
        <v>18746</v>
      </c>
      <c r="J10" s="1" t="s">
        <v>35</v>
      </c>
      <c r="K10" s="3" t="s">
        <v>0</v>
      </c>
      <c r="L10" s="20">
        <v>11066</v>
      </c>
      <c r="N10" s="8">
        <f t="shared" ref="N10:N11" si="1">ROUND(L10*1.1*1.54,0)</f>
        <v>18746</v>
      </c>
    </row>
    <row r="11" spans="2:14" ht="21.6" customHeight="1" thickBot="1" x14ac:dyDescent="0.3">
      <c r="B11" s="1" t="s">
        <v>36</v>
      </c>
      <c r="C11" s="4" t="s">
        <v>0</v>
      </c>
      <c r="D11" s="21">
        <v>41490</v>
      </c>
      <c r="F11" s="11">
        <f t="shared" si="0"/>
        <v>70284</v>
      </c>
      <c r="J11" s="1" t="s">
        <v>36</v>
      </c>
      <c r="K11" s="4" t="s">
        <v>0</v>
      </c>
      <c r="L11" s="21">
        <v>41490</v>
      </c>
      <c r="N11" s="11">
        <f t="shared" si="1"/>
        <v>70284</v>
      </c>
    </row>
    <row r="12" spans="2:14" ht="21.6" customHeight="1" x14ac:dyDescent="0.25">
      <c r="B12" s="29" t="s">
        <v>18</v>
      </c>
      <c r="C12" s="5" t="s">
        <v>0</v>
      </c>
      <c r="D12" s="19">
        <v>291236</v>
      </c>
      <c r="F12" s="10">
        <f>SUM(F9:F11)</f>
        <v>493354</v>
      </c>
      <c r="J12" s="26" t="s">
        <v>10</v>
      </c>
      <c r="K12" s="5" t="s">
        <v>0</v>
      </c>
      <c r="L12" s="19">
        <v>257536</v>
      </c>
      <c r="N12" s="10">
        <f>SUM(N9:N11)</f>
        <v>436266</v>
      </c>
    </row>
    <row r="13" spans="2:14" ht="21.6" customHeight="1" x14ac:dyDescent="0.25">
      <c r="B13" s="27" t="s">
        <v>26</v>
      </c>
      <c r="C13" s="15" t="s">
        <v>0</v>
      </c>
      <c r="D13" s="23"/>
      <c r="F13" s="37"/>
      <c r="J13" s="27" t="s">
        <v>26</v>
      </c>
      <c r="K13" s="15" t="s">
        <v>0</v>
      </c>
      <c r="L13" s="23"/>
      <c r="N13" s="37"/>
    </row>
    <row r="14" spans="2:14" ht="21.6" customHeight="1" thickBot="1" x14ac:dyDescent="0.3">
      <c r="B14" s="1" t="s">
        <v>1</v>
      </c>
      <c r="C14" s="4" t="s">
        <v>0</v>
      </c>
      <c r="D14" s="21">
        <v>1650</v>
      </c>
      <c r="F14" s="11">
        <f>ROUND(D14*1.3,0)</f>
        <v>2145</v>
      </c>
      <c r="J14" s="1" t="s">
        <v>1</v>
      </c>
      <c r="K14" s="4" t="s">
        <v>0</v>
      </c>
      <c r="L14" s="21">
        <v>1650</v>
      </c>
      <c r="N14" s="11">
        <f>ROUND(L14*1.3,0)</f>
        <v>2145</v>
      </c>
    </row>
    <row r="15" spans="2:14" ht="31.5" customHeight="1" x14ac:dyDescent="0.25">
      <c r="B15" s="6" t="s">
        <v>28</v>
      </c>
      <c r="C15" s="7" t="s">
        <v>0</v>
      </c>
      <c r="D15" s="22">
        <v>292886</v>
      </c>
      <c r="F15" s="12">
        <f>SUM(F12:F14)</f>
        <v>495499</v>
      </c>
      <c r="J15" s="6" t="s">
        <v>28</v>
      </c>
      <c r="K15" s="7" t="s">
        <v>0</v>
      </c>
      <c r="L15" s="22">
        <v>259186</v>
      </c>
      <c r="N15" s="12">
        <f>SUM(N12:N14)</f>
        <v>438411</v>
      </c>
    </row>
    <row r="16" spans="2:14" x14ac:dyDescent="0.25">
      <c r="B16" t="s">
        <v>29</v>
      </c>
      <c r="J16" t="s">
        <v>29</v>
      </c>
    </row>
    <row r="18" spans="1:16" ht="30" x14ac:dyDescent="0.25">
      <c r="A18" s="14"/>
      <c r="B18" s="25"/>
      <c r="F18" s="38" t="s">
        <v>27</v>
      </c>
      <c r="G18" s="39" t="s">
        <v>38</v>
      </c>
    </row>
    <row r="19" spans="1:16" x14ac:dyDescent="0.25">
      <c r="B19" s="25"/>
      <c r="F19" s="9" t="s">
        <v>2</v>
      </c>
      <c r="G19" s="40" t="s">
        <v>2</v>
      </c>
      <c r="H19" s="9"/>
      <c r="N19" s="9"/>
      <c r="P19" s="9"/>
    </row>
    <row r="20" spans="1:16" x14ac:dyDescent="0.25">
      <c r="A20" s="13">
        <v>9.1</v>
      </c>
      <c r="B20" s="13" t="s">
        <v>3</v>
      </c>
      <c r="F20" s="32" t="s">
        <v>19</v>
      </c>
      <c r="G20" s="32" t="s">
        <v>37</v>
      </c>
      <c r="J20" s="13"/>
    </row>
    <row r="21" spans="1:16" x14ac:dyDescent="0.25">
      <c r="A21" s="14"/>
    </row>
    <row r="22" spans="1:16" ht="28.5" x14ac:dyDescent="0.25">
      <c r="A22" s="41">
        <v>1</v>
      </c>
      <c r="B22" s="1" t="s">
        <v>4</v>
      </c>
      <c r="C22" s="42" t="s">
        <v>0</v>
      </c>
      <c r="D22" s="42">
        <v>890</v>
      </c>
      <c r="F22" s="8">
        <f>ROUND(D22*1.3*2.18,0)</f>
        <v>2522</v>
      </c>
      <c r="G22" s="8">
        <f>ROUND(D22*1.1*1.54,0)</f>
        <v>1508</v>
      </c>
      <c r="H22" s="8"/>
    </row>
    <row r="23" spans="1:16" x14ac:dyDescent="0.25">
      <c r="A23" s="41"/>
      <c r="B23" s="1" t="s">
        <v>11</v>
      </c>
      <c r="C23" s="42"/>
      <c r="D23" s="42"/>
      <c r="E23" s="24"/>
      <c r="F23" s="8"/>
      <c r="G23" s="24"/>
      <c r="H23" s="8"/>
    </row>
    <row r="24" spans="1:16" ht="28.5" x14ac:dyDescent="0.25">
      <c r="A24" s="41">
        <v>1</v>
      </c>
      <c r="B24" s="1" t="s">
        <v>5</v>
      </c>
      <c r="C24" s="42" t="s">
        <v>0</v>
      </c>
      <c r="D24" s="42">
        <v>890</v>
      </c>
      <c r="F24" s="8">
        <f t="shared" ref="F24:F32" si="2">ROUND(D24*1.3*2.18,0)</f>
        <v>2522</v>
      </c>
      <c r="G24" s="8">
        <f t="shared" ref="G24:G32" si="3">ROUND(D24*1.1*1.54,0)</f>
        <v>1508</v>
      </c>
      <c r="H24" s="8"/>
    </row>
    <row r="25" spans="1:16" x14ac:dyDescent="0.25">
      <c r="A25" s="41"/>
      <c r="B25" s="1" t="s">
        <v>12</v>
      </c>
      <c r="C25" s="42"/>
      <c r="D25" s="42"/>
      <c r="F25" s="8"/>
      <c r="G25" s="8"/>
      <c r="H25" s="8"/>
      <c r="J25" s="16"/>
      <c r="K25" s="1"/>
      <c r="L25" s="1"/>
    </row>
    <row r="26" spans="1:16" ht="27.75" customHeight="1" x14ac:dyDescent="0.25">
      <c r="A26" s="41">
        <v>1</v>
      </c>
      <c r="B26" s="1" t="s">
        <v>6</v>
      </c>
      <c r="C26" s="42" t="s">
        <v>0</v>
      </c>
      <c r="D26" s="42">
        <v>890</v>
      </c>
      <c r="F26" s="8">
        <f t="shared" si="2"/>
        <v>2522</v>
      </c>
      <c r="G26" s="8">
        <f t="shared" si="3"/>
        <v>1508</v>
      </c>
      <c r="H26" s="8"/>
      <c r="J26" s="27"/>
      <c r="K26" s="15"/>
      <c r="L26" s="23"/>
      <c r="N26" s="8"/>
      <c r="P26" s="17"/>
    </row>
    <row r="27" spans="1:16" x14ac:dyDescent="0.25">
      <c r="A27" s="41"/>
      <c r="B27" s="1" t="s">
        <v>13</v>
      </c>
      <c r="C27" s="42"/>
      <c r="D27" s="42"/>
      <c r="F27" s="8"/>
      <c r="G27" s="8"/>
      <c r="H27" s="8"/>
    </row>
    <row r="28" spans="1:16" ht="28.5" x14ac:dyDescent="0.25">
      <c r="A28" s="41">
        <v>1</v>
      </c>
      <c r="B28" s="1" t="s">
        <v>7</v>
      </c>
      <c r="C28" s="2"/>
      <c r="D28" s="42">
        <v>890</v>
      </c>
      <c r="F28" s="8">
        <f t="shared" si="2"/>
        <v>2522</v>
      </c>
      <c r="G28" s="8">
        <f t="shared" si="3"/>
        <v>1508</v>
      </c>
      <c r="H28" s="8"/>
    </row>
    <row r="29" spans="1:16" ht="28.5" x14ac:dyDescent="0.25">
      <c r="A29" s="41"/>
      <c r="B29" s="1" t="s">
        <v>14</v>
      </c>
      <c r="C29" s="3" t="s">
        <v>0</v>
      </c>
      <c r="D29" s="42"/>
      <c r="F29" s="8"/>
      <c r="G29" s="8"/>
      <c r="H29" s="8"/>
    </row>
    <row r="30" spans="1:16" ht="28.5" x14ac:dyDescent="0.25">
      <c r="A30" s="41">
        <v>1</v>
      </c>
      <c r="B30" s="1" t="s">
        <v>8</v>
      </c>
      <c r="C30" s="42" t="s">
        <v>0</v>
      </c>
      <c r="D30" s="42">
        <v>890</v>
      </c>
      <c r="F30" s="8">
        <f t="shared" si="2"/>
        <v>2522</v>
      </c>
      <c r="G30" s="8">
        <f t="shared" si="3"/>
        <v>1508</v>
      </c>
      <c r="H30" s="8"/>
    </row>
    <row r="31" spans="1:16" x14ac:dyDescent="0.25">
      <c r="A31" s="41"/>
      <c r="B31" s="1" t="s">
        <v>15</v>
      </c>
      <c r="C31" s="42"/>
      <c r="D31" s="42"/>
      <c r="F31" s="8"/>
      <c r="G31" s="8"/>
      <c r="H31" s="8"/>
    </row>
    <row r="32" spans="1:16" x14ac:dyDescent="0.25">
      <c r="A32" s="41">
        <v>1</v>
      </c>
      <c r="B32" s="41" t="s">
        <v>16</v>
      </c>
      <c r="C32" s="2"/>
      <c r="D32" s="43">
        <v>2440</v>
      </c>
      <c r="F32" s="8">
        <f t="shared" si="2"/>
        <v>6915</v>
      </c>
      <c r="G32" s="8">
        <f t="shared" si="3"/>
        <v>4133</v>
      </c>
      <c r="H32" s="8"/>
    </row>
    <row r="33" spans="1:8" x14ac:dyDescent="0.25">
      <c r="A33" s="41"/>
      <c r="B33" s="41"/>
      <c r="C33" s="3" t="s">
        <v>0</v>
      </c>
      <c r="D33" s="42"/>
      <c r="F33" s="8"/>
      <c r="H33" s="8"/>
    </row>
    <row r="34" spans="1:8" x14ac:dyDescent="0.25">
      <c r="B34" s="1"/>
      <c r="C34" s="28"/>
      <c r="F34" s="8"/>
      <c r="H34" s="8"/>
    </row>
    <row r="36" spans="1:8" ht="15.75" x14ac:dyDescent="0.25">
      <c r="A36" s="14"/>
      <c r="B36" s="33" t="s">
        <v>25</v>
      </c>
      <c r="C36" s="33"/>
      <c r="D36" s="33"/>
    </row>
    <row r="37" spans="1:8" ht="15.75" x14ac:dyDescent="0.25">
      <c r="B37" s="33" t="s">
        <v>20</v>
      </c>
      <c r="C37" s="33" t="s">
        <v>2</v>
      </c>
      <c r="D37" s="34">
        <v>7930</v>
      </c>
    </row>
    <row r="38" spans="1:8" ht="15.75" x14ac:dyDescent="0.25">
      <c r="B38" s="33" t="s">
        <v>21</v>
      </c>
      <c r="C38" s="33" t="s">
        <v>2</v>
      </c>
      <c r="D38" s="34">
        <v>12560</v>
      </c>
      <c r="F38" s="8"/>
      <c r="H38" s="8"/>
    </row>
    <row r="39" spans="1:8" ht="15.75" x14ac:dyDescent="0.25">
      <c r="B39" s="33" t="s">
        <v>22</v>
      </c>
      <c r="C39" s="33" t="s">
        <v>2</v>
      </c>
      <c r="D39" s="34">
        <v>7130</v>
      </c>
    </row>
    <row r="40" spans="1:8" ht="15.75" x14ac:dyDescent="0.25">
      <c r="B40" s="33" t="s">
        <v>23</v>
      </c>
      <c r="C40" s="33" t="s">
        <v>2</v>
      </c>
      <c r="D40" s="34">
        <v>11680</v>
      </c>
    </row>
    <row r="41" spans="1:8" ht="15.75" x14ac:dyDescent="0.25">
      <c r="B41" s="33" t="s">
        <v>24</v>
      </c>
      <c r="C41" s="33" t="s">
        <v>2</v>
      </c>
      <c r="D41" s="34">
        <v>29940</v>
      </c>
    </row>
  </sheetData>
  <mergeCells count="17">
    <mergeCell ref="A32:A33"/>
    <mergeCell ref="B32:B33"/>
    <mergeCell ref="D32:D33"/>
    <mergeCell ref="A30:A31"/>
    <mergeCell ref="C30:C31"/>
    <mergeCell ref="D30:D31"/>
    <mergeCell ref="A26:A27"/>
    <mergeCell ref="C26:C27"/>
    <mergeCell ref="D26:D27"/>
    <mergeCell ref="A28:A29"/>
    <mergeCell ref="D28:D29"/>
    <mergeCell ref="A22:A23"/>
    <mergeCell ref="C22:C23"/>
    <mergeCell ref="D22:D23"/>
    <mergeCell ref="A24:A25"/>
    <mergeCell ref="C24:C25"/>
    <mergeCell ref="D24:D25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Aguirre Gab</dc:creator>
  <cp:lastModifiedBy>Landy Kathy</cp:lastModifiedBy>
  <cp:lastPrinted>2024-10-15T18:24:17Z</cp:lastPrinted>
  <dcterms:created xsi:type="dcterms:W3CDTF">2015-06-05T18:17:20Z</dcterms:created>
  <dcterms:modified xsi:type="dcterms:W3CDTF">2025-11-18T20:08:21Z</dcterms:modified>
</cp:coreProperties>
</file>